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 de Cobranza" sheetId="1" state="visible" r:id="rId1"/>
  </sheets>
  <definedNames>
    <definedName name="_xlnm.Print_Titles" localSheetId="0">'Planilla de Cobranza'!$1:$4</definedName>
    <definedName name="_xlnm.Print_Area" localSheetId="0">'Planilla de Cobranza'!$A$1:$H$68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 #,##0.00"/>
  </numFmts>
  <fonts count="18">
    <font>
      <name val="Calibri"/>
      <family val="2"/>
      <color theme="1"/>
      <sz val="11"/>
      <scheme val="minor"/>
    </font>
    <font>
      <b val="1"/>
      <color rgb="FF1F3864"/>
      <sz val="18"/>
    </font>
    <font>
      <b val="1"/>
      <color rgb="FF1F4E79"/>
      <sz val="12"/>
    </font>
    <font>
      <color rgb="FF808080"/>
      <sz val="9"/>
    </font>
    <font>
      <color rgb="FF808080"/>
      <sz val="10"/>
    </font>
    <font>
      <i val="1"/>
      <color rgb="FF808080"/>
      <sz val="9"/>
    </font>
    <font>
      <b val="1"/>
      <color rgb="FFFFFFFF"/>
      <sz val="11"/>
    </font>
    <font>
      <b val="1"/>
    </font>
    <font>
      <color rgb="FF000000"/>
    </font>
    <font>
      <b val="1"/>
      <color rgb="FF1F4E79"/>
    </font>
    <font>
      <b val="1"/>
      <color rgb="FF1F3864"/>
    </font>
    <font>
      <b val="1"/>
      <color rgb="FFFFFFFF"/>
    </font>
    <font>
      <b val="1"/>
      <color rgb="FF1F3864"/>
      <sz val="12"/>
    </font>
    <font>
      <b val="1"/>
      <color rgb="FF000000"/>
      <sz val="13"/>
    </font>
    <font>
      <b val="1"/>
      <color rgb="FFFFFFFF"/>
      <sz val="14"/>
    </font>
    <font>
      <i val="1"/>
      <color rgb="FFD6E4F7"/>
      <sz val="9"/>
    </font>
    <font>
      <b val="1"/>
      <color rgb="FFFFFFFF"/>
      <sz val="16"/>
    </font>
    <font>
      <b val="1"/>
      <color rgb="FF1F3864"/>
      <sz val="14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BE5F1"/>
      </patternFill>
    </fill>
    <fill>
      <patternFill patternType="solid">
        <fgColor rgb="FFEDEDED"/>
      </patternFill>
    </fill>
  </fills>
  <borders count="2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</border>
    <border>
      <left/>
      <right/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left"/>
    </xf>
    <xf numFmtId="0" fontId="0" fillId="3" borderId="1" pivotButton="0" quotePrefix="0" xfId="0"/>
    <xf numFmtId="0" fontId="8" fillId="0" borderId="1" applyAlignment="1" pivotButton="0" quotePrefix="0" xfId="0">
      <alignment horizontal="left"/>
    </xf>
    <xf numFmtId="0" fontId="0" fillId="0" borderId="1" pivotButton="0" quotePrefix="0" xfId="0"/>
    <xf numFmtId="3" fontId="8" fillId="0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4" fontId="9" fillId="0" borderId="1" applyAlignment="1" pivotButton="0" quotePrefix="0" xfId="0">
      <alignment horizontal="right"/>
    </xf>
    <xf numFmtId="0" fontId="10" fillId="4" borderId="5" applyAlignment="1" pivotButton="0" quotePrefix="0" xfId="0">
      <alignment horizontal="left" vertical="center" wrapText="1"/>
    </xf>
    <xf numFmtId="0" fontId="0" fillId="4" borderId="5" pivotButton="0" quotePrefix="0" xfId="0"/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0" fontId="11" fillId="2" borderId="11" applyAlignment="1" pivotButton="0" quotePrefix="0" xfId="0">
      <alignment horizontal="right"/>
    </xf>
    <xf numFmtId="0" fontId="0" fillId="2" borderId="11" pivotButton="0" quotePrefix="0" xfId="0"/>
    <xf numFmtId="4" fontId="11" fillId="2" borderId="11" applyAlignment="1" pivotButton="0" quotePrefix="0" xfId="0">
      <alignment horizontal="right"/>
    </xf>
    <xf numFmtId="0" fontId="7" fillId="5" borderId="16" applyAlignment="1" pivotButton="0" quotePrefix="0" xfId="0">
      <alignment horizontal="right"/>
    </xf>
    <xf numFmtId="0" fontId="0" fillId="5" borderId="16" pivotButton="0" quotePrefix="0" xfId="0"/>
    <xf numFmtId="4" fontId="7" fillId="5" borderId="16" applyAlignment="1" pivotButton="0" quotePrefix="0" xfId="0">
      <alignment horizontal="right"/>
    </xf>
    <xf numFmtId="0" fontId="12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165" fontId="13" fillId="0" borderId="1" applyAlignment="1" pivotButton="0" quotePrefix="0" xfId="0">
      <alignment horizontal="right" vertical="center" indent="1"/>
    </xf>
    <xf numFmtId="0" fontId="14" fillId="2" borderId="11" applyAlignment="1" pivotButton="0" quotePrefix="0" xfId="0">
      <alignment horizontal="left" vertical="center" indent="1"/>
    </xf>
    <xf numFmtId="0" fontId="15" fillId="2" borderId="11" applyAlignment="1" pivotButton="0" quotePrefix="0" xfId="0">
      <alignment horizontal="left" vertical="center"/>
    </xf>
    <xf numFmtId="165" fontId="16" fillId="2" borderId="11" applyAlignment="1" pivotButton="0" quotePrefix="0" xfId="0">
      <alignment horizontal="right" vertical="center" indent="1"/>
    </xf>
    <xf numFmtId="0" fontId="17" fillId="3" borderId="11" applyAlignment="1" pivotButton="0" quotePrefix="0" xfId="0">
      <alignment horizontal="center" vertical="center"/>
    </xf>
    <xf numFmtId="0" fontId="0" fillId="3" borderId="11" pivotButton="0" quotePrefix="0" xfId="0"/>
  </cellXfs>
  <cellStyles count="1">
    <cellStyle name="Normal" xfId="0" builtinId="0" hidden="0"/>
  </cellStyles>
  <dxfs count="3"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6500"/>
      </font>
      <fill>
        <patternFill patternType="solid">
          <fgColor rgb="FFFFEB9C"/>
          <bgColor rgb="FFFFEB9C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Seedian</author>
  </authors>
  <commentList>
    <comment ref="A1" authorId="0" shapeId="0">
      <text>
        <t>collection.sheet.company_id -&gt; res.company.name</t>
      </text>
    </comment>
    <comment ref="A2" authorId="0" shapeId="0">
      <text>
        <t>res.company.vat / res.company.partner_id (dirección)</t>
      </text>
    </comment>
    <comment ref="F2" authorId="0" shapeId="0">
      <text>
        <t>collection.sheet.name</t>
      </text>
    </comment>
    <comment ref="A7" authorId="0" shapeId="0">
      <text>
        <t>collection.sheet.name</t>
      </text>
    </comment>
    <comment ref="E7" authorId="0" shapeId="0">
      <text>
        <t>collection.sheet.state</t>
      </text>
    </comment>
    <comment ref="A8" authorId="0" shapeId="0">
      <text>
        <t>collection.sheet.seller_id</t>
      </text>
    </comment>
    <comment ref="E8" authorId="0" shapeId="0">
      <text>
        <t>fecha/hora de impresión del reporte</t>
      </text>
    </comment>
    <comment ref="A9" authorId="0" shapeId="0">
      <text>
        <t>collection.sheet.date_from</t>
      </text>
    </comment>
    <comment ref="E9" authorId="0" shapeId="0">
      <text>
        <t>collection.sheet.date_to</t>
      </text>
    </comment>
    <comment ref="A10" authorId="0" shapeId="0">
      <text>
        <t>cantidad de collection.allocation de la planilla (1 por cliente: UNIQUE(sheet_id, partner_id))</t>
      </text>
    </comment>
    <comment ref="E10" authorId="0" shapeId="0">
      <text>
        <t>collection.sheet.voucher_count — es un CONTEO de documentos, no un importe</t>
      </text>
    </comment>
    <comment ref="A11" authorId="0" shapeId="0">
      <text>
        <t>IMPORTE cobrado a los clientes: suma de collection.allocation.total_vouchers</t>
      </text>
    </comment>
    <comment ref="E11" authorId="0" shapeId="0">
      <text>
        <t>IMPORTE imputado a facturas: suma de collection.allocation.total_applied</t>
      </text>
    </comment>
    <comment ref="A12" authorId="0" shapeId="0">
      <text>
        <t>suma de collection.allocation.residual</t>
      </text>
    </comment>
    <comment ref="E12" authorId="0" shapeId="0">
      <text>
        <t>collection.allocation.currency_id</t>
      </text>
    </comment>
    <comment ref="A13" authorId="0" shapeId="0">
      <text>
        <t>CAMPO NUEVO — res.users.collection_commission_rate</t>
      </text>
    </comment>
    <comment ref="E13" authorId="0" shapeId="0">
      <text>
        <t>CAMPO NUEVO — suma de Comisión de las líneas aplicadas</t>
      </text>
    </comment>
    <comment ref="A16" authorId="0" shapeId="0">
      <text>
        <t>collection.connector.customer.binding.customer_code
(código del cliente en el ERP de origen; equivale a «CLIENTE Nº» de la rendición en papel)</t>
      </text>
    </comment>
    <comment ref="B16" authorId="0" shapeId="0">
      <text>
        <t>collection.allocation.partner_id</t>
      </text>
    </comment>
    <comment ref="C16" authorId="0" shapeId="0">
      <text>
        <t>collection.allocation.total_vouchers — IMPORTE que pagó el cliente: suma de collection.voucher.amount de sus comprobantes</t>
      </text>
    </comment>
    <comment ref="D16" authorId="0" shapeId="0">
      <text>
        <t>collection.allocation.total_applied — cuánto de ese importe se imputó a facturas: suma de collection.allocation.line.amount_applied</t>
      </text>
    </comment>
    <comment ref="E16" authorId="0" shapeId="0">
      <text>
        <t>collection.allocation.residual = Cobrado − Aplicado.
Saldo a favor del cliente: sólo puede ser &gt; 0 cuando el pago supera la suma de los saldos abiertos de sus facturas.</t>
      </text>
    </comment>
    <comment ref="F16" authorId="0" shapeId="0">
      <text>
        <t>collection.allocation.residual_reason — OBLIGATORIO cuando el remanente es &gt; 0.
Valores: A Cuenta / Anticipo / Redondeo</t>
      </text>
    </comment>
    <comment ref="A23" authorId="0" shapeId="0">
      <text>
        <t>collection.connector.customer.binding.customer_code
(código del cliente en el ERP de origen; equivale a «CLIENTE Nº» de la rendición en papel)</t>
      </text>
    </comment>
    <comment ref="B23" authorId="0" shapeId="0">
      <text>
        <t>collection.allocation.partner_id</t>
      </text>
    </comment>
    <comment ref="C23" authorId="0" shapeId="0">
      <text>
        <t>collection.allocation.line.invoice_number</t>
      </text>
    </comment>
    <comment ref="D23" authorId="0" shapeId="0">
      <text>
        <t>collection.allocation.line.due_date</t>
      </text>
    </comment>
    <comment ref="E23" authorId="0" shapeId="0">
      <text>
        <t>collection.allocation.line.invoice_balance — saldo abierto del documento al momento de imputar</t>
      </text>
    </comment>
    <comment ref="F23" authorId="0" shapeId="0">
      <text>
        <t>collection.allocation.line.amount_applied — nunca puede superar el Saldo (CHECK amount_applied &lt;= invoice_balance)</t>
      </text>
    </comment>
    <comment ref="G23" authorId="0" shapeId="0">
      <text>
        <t>CAMPO NUEVO — Aplicado × res.users.collection_commission_rate</t>
      </text>
    </comment>
    <comment ref="A30" authorId="0" shapeId="0">
      <text>
        <t>collection.connector.customer.binding.customer_code
(código del cliente en el ERP de origen; equivale a «CLIENTE Nº» de la rendición en papel)</t>
      </text>
    </comment>
    <comment ref="B30" authorId="0" shapeId="0">
      <text>
        <t>collection.allocation.partner_id</t>
      </text>
    </comment>
    <comment ref="C30" authorId="0" shapeId="0">
      <text>
        <t>collection.allocation.line.invoice_number
CAMPO NUEVO — el modelo no distingue factura de presupuesto; hace falta un tipo de documento en collection.allocation.line</t>
      </text>
    </comment>
    <comment ref="D30" authorId="0" shapeId="0">
      <text>
        <t>collection.allocation.line.due_date</t>
      </text>
    </comment>
    <comment ref="E30" authorId="0" shapeId="0">
      <text>
        <t>collection.allocation.line.invoice_balance — saldo abierto del documento al momento de imputar</t>
      </text>
    </comment>
    <comment ref="F30" authorId="0" shapeId="0">
      <text>
        <t>collection.allocation.line.amount_applied — nunca puede superar el Saldo (CHECK amount_applied &lt;= invoice_balance)</t>
      </text>
    </comment>
    <comment ref="G30" authorId="0" shapeId="0">
      <text>
        <t>CAMPO NUEVO — Aplicado × res.users.collection_commission_rate</t>
      </text>
    </comment>
    <comment ref="A39" authorId="0" shapeId="0">
      <text>
        <t>collection.connector.customer.binding.customer_code
(código del cliente en el ERP de origen; equivale a «CLIENTE Nº» de la rendición en papel)</t>
      </text>
    </comment>
    <comment ref="B39" authorId="0" shapeId="0">
      <text>
        <t>collection.voucher.partner_id</t>
      </text>
    </comment>
    <comment ref="C39" authorId="0" shapeId="0">
      <text>
        <t>collection.voucher.voucher_date</t>
      </text>
    </comment>
    <comment ref="D39" authorId="0" shapeId="0">
      <text>
        <t>collection.voucher.voucher_number</t>
      </text>
    </comment>
    <comment ref="H39" authorId="0" shapeId="0">
      <text>
        <t>collection.voucher.amount</t>
      </text>
    </comment>
    <comment ref="A45" authorId="0" shapeId="0">
      <text>
        <t>collection.connector.customer.binding.customer_code
(código del cliente en el ERP de origen; equivale a «CLIENTE Nº» de la rendición en papel)</t>
      </text>
    </comment>
    <comment ref="B45" authorId="0" shapeId="0">
      <text>
        <t>collection.voucher.partner_id</t>
      </text>
    </comment>
    <comment ref="C45" authorId="0" shapeId="0">
      <text>
        <t>collection.voucher.check_issue_date</t>
      </text>
    </comment>
    <comment ref="D45" authorId="0" shapeId="0">
      <text>
        <t>collection.voucher.check_number</t>
      </text>
    </comment>
    <comment ref="E45" authorId="0" shapeId="0">
      <text>
        <t>collection.voucher.check_bank</t>
      </text>
    </comment>
    <comment ref="F45" authorId="0" shapeId="0">
      <text>
        <t>collection.voucher.check_type</t>
      </text>
    </comment>
    <comment ref="G45" authorId="0" shapeId="0">
      <text>
        <t>collection.voucher.check_payment_date</t>
      </text>
    </comment>
    <comment ref="H45" authorId="0" shapeId="0">
      <text>
        <t>collection.voucher.amount</t>
      </text>
    </comment>
    <comment ref="A51" authorId="0" shapeId="0">
      <text>
        <t>collection.connector.customer.binding.customer_code
(código del cliente en el ERP de origen; equivale a «CLIENTE Nº» de la rendición en papel)</t>
      </text>
    </comment>
    <comment ref="B51" authorId="0" shapeId="0">
      <text>
        <t>collection.voucher.partner_id</t>
      </text>
    </comment>
    <comment ref="C51" authorId="0" shapeId="0">
      <text>
        <t>collection.voucher.voucher_date</t>
      </text>
    </comment>
    <comment ref="D51" authorId="0" shapeId="0">
      <text>
        <t>collection.voucher.voucher_number</t>
      </text>
    </comment>
    <comment ref="H51" authorId="0" shapeId="0">
      <text>
        <t>collection.voucher.amount</t>
      </text>
    </comment>
    <comment ref="D58" authorId="0" shapeId="0">
      <text>
        <t>CAMPO NUEVO — efectivo entregado por el vendedor; hoy no se modela como collection.voucher</t>
      </text>
    </comment>
    <comment ref="E58" authorId="0" shapeId="0">
      <text>
        <t>suma de collection.voucher.amount con document_type = depósito</t>
      </text>
    </comment>
    <comment ref="F58" authorId="0" shapeId="0">
      <text>
        <t>suma de collection.voucher.amount con document_type = cheque</t>
      </text>
    </comment>
    <comment ref="G58" authorId="0" shapeId="0">
      <text>
        <t>suma de collection.voucher.amount con document_type = transferencia</t>
      </text>
    </comment>
    <comment ref="H58" authorId="0" shapeId="0">
      <text>
        <t>Efectivo + Depósitos + Cheques + Transferencias</t>
      </text>
    </comment>
    <comment ref="A61" authorId="0" shapeId="0">
      <text>
        <t>Lo que efectivamente pagaron los clientes: suma de collection.allocation.total_vouchers</t>
      </text>
    </comment>
    <comment ref="A62" authorId="0" shapeId="0">
      <text>
        <t>CAMPO NUEVO — comisión que el vendedor descuenta en el acto. 0 si la comisión se liquida por separado</t>
      </text>
    </comment>
    <comment ref="A65" authorId="0" shapeId="0">
      <text>
        <t>Lo que efectivamente llegó a la empresa (celda H59)</t>
      </text>
    </comment>
    <comment ref="A66" authorId="0" shapeId="0">
      <text>
        <t>Cero: la rendición cierra.
Positivo: el vendedor entregó de más (saldo a su favor).
Negativo: el vendedor todavía debe rendir esa suma.</t>
      </text>
    </comment>
    <comment ref="A68" authorId="0" shapeId="0">
      <text>
        <t>Estado de la conciliación — se calcula solo a partir de la Diferencia (celda G66).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9" customWidth="1" min="3" max="3"/>
    <col width="17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 ht="26" customHeight="1">
      <c r="A1" s="1" t="inlineStr">
        <is>
          <t>SEEDIAN S.A.</t>
        </is>
      </c>
      <c r="F1" s="2" t="inlineStr">
        <is>
          <t>Planilla de Cobranza</t>
        </is>
      </c>
    </row>
    <row r="2" ht="14" customHeight="1">
      <c r="A2" s="3" t="inlineStr">
        <is>
          <t>CUIT 30-71234567-8  ·  Av. Colón 1234, Córdoba, Argentina</t>
        </is>
      </c>
      <c r="F2" s="4" t="inlineStr">
        <is>
          <t>COB/2026/0007</t>
        </is>
      </c>
    </row>
    <row r="3" ht="4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14" customHeight="1">
      <c r="A4" s="6" t="inlineStr">
        <is>
          <t>Plantilla de referencia — el comentario de cada encabezado indica el campo de Odoo que lo alimenta. «CAMPO NUEVO» = todavía no existe en el módulo.</t>
        </is>
      </c>
    </row>
    <row r="5" ht="8" customHeight="1"/>
    <row r="6" ht="20" customHeight="1">
      <c r="A6" s="7" t="inlineStr">
        <is>
          <t>Resumen</t>
        </is>
      </c>
      <c r="B6" s="5" t="n"/>
      <c r="C6" s="5" t="n"/>
      <c r="D6" s="5" t="n"/>
      <c r="E6" s="5" t="n"/>
      <c r="F6" s="5" t="n"/>
      <c r="G6" s="5" t="n"/>
      <c r="H6" s="5" t="n"/>
    </row>
    <row r="7">
      <c r="A7" s="8" t="inlineStr">
        <is>
          <t>Referencia</t>
        </is>
      </c>
      <c r="B7" s="9" t="n"/>
      <c r="C7" s="10" t="inlineStr">
        <is>
          <t>COB/2026/0007</t>
        </is>
      </c>
      <c r="D7" s="11" t="n"/>
      <c r="E7" s="8" t="inlineStr">
        <is>
          <t>Estado</t>
        </is>
      </c>
      <c r="F7" s="9" t="n"/>
      <c r="G7" s="10" t="inlineStr">
        <is>
          <t>Abierta</t>
        </is>
      </c>
      <c r="H7" s="11" t="n"/>
    </row>
    <row r="8">
      <c r="A8" s="8" t="inlineStr">
        <is>
          <t>Vendedor</t>
        </is>
      </c>
      <c r="B8" s="9" t="n"/>
      <c r="C8" s="10" t="inlineStr">
        <is>
          <t>Marina Gutiérrez</t>
        </is>
      </c>
      <c r="D8" s="11" t="n"/>
      <c r="E8" s="8" t="inlineStr">
        <is>
          <t>Impreso el</t>
        </is>
      </c>
      <c r="F8" s="9" t="n"/>
      <c r="G8" s="10" t="inlineStr">
        <is>
          <t>2026-09-02 14:35</t>
        </is>
      </c>
      <c r="H8" s="11" t="n"/>
    </row>
    <row r="9">
      <c r="A9" s="8" t="inlineStr">
        <is>
          <t>Desde</t>
        </is>
      </c>
      <c r="B9" s="9" t="n"/>
      <c r="C9" s="10" t="inlineStr">
        <is>
          <t>2026-08-24</t>
        </is>
      </c>
      <c r="D9" s="11" t="n"/>
      <c r="E9" s="8" t="inlineStr">
        <is>
          <t>Hasta</t>
        </is>
      </c>
      <c r="F9" s="9" t="n"/>
      <c r="G9" s="10" t="inlineStr">
        <is>
          <t>2026-08-29</t>
        </is>
      </c>
      <c r="H9" s="11" t="n"/>
    </row>
    <row r="10">
      <c r="A10" s="8" t="inlineStr">
        <is>
          <t>Cantidad de Clientes</t>
        </is>
      </c>
      <c r="B10" s="9" t="n"/>
      <c r="C10" s="12" t="n">
        <v>3</v>
      </c>
      <c r="D10" s="11" t="n"/>
      <c r="E10" s="8" t="inlineStr">
        <is>
          <t>Cantidad de Comprobantes</t>
        </is>
      </c>
      <c r="F10" s="9" t="n"/>
      <c r="G10" s="12" t="n">
        <v>5</v>
      </c>
      <c r="H10" s="11" t="n"/>
    </row>
    <row r="11">
      <c r="A11" s="8" t="inlineStr">
        <is>
          <t>Total Cobrado</t>
        </is>
      </c>
      <c r="B11" s="9" t="n"/>
      <c r="C11" s="13">
        <f>H55</f>
        <v/>
      </c>
      <c r="D11" s="11" t="n"/>
      <c r="E11" s="8" t="inlineStr">
        <is>
          <t>Total Aplicado</t>
        </is>
      </c>
      <c r="F11" s="9" t="n"/>
      <c r="G11" s="13">
        <f>F36</f>
        <v/>
      </c>
      <c r="H11" s="11" t="n"/>
    </row>
    <row r="12">
      <c r="A12" s="8" t="inlineStr">
        <is>
          <t>Remanente</t>
        </is>
      </c>
      <c r="B12" s="9" t="n"/>
      <c r="C12" s="13">
        <f>C11-G11</f>
        <v/>
      </c>
      <c r="D12" s="11" t="n"/>
      <c r="E12" s="8" t="inlineStr">
        <is>
          <t>Moneda</t>
        </is>
      </c>
      <c r="F12" s="9" t="n"/>
      <c r="G12" s="10" t="inlineStr">
        <is>
          <t>ARS</t>
        </is>
      </c>
      <c r="H12" s="11" t="n"/>
    </row>
    <row r="13">
      <c r="A13" s="8" t="inlineStr">
        <is>
          <t>% Comisión Vendedor</t>
        </is>
      </c>
      <c r="B13" s="9" t="n"/>
      <c r="C13" s="14" t="n">
        <v>0.045</v>
      </c>
      <c r="D13" s="11" t="n"/>
      <c r="E13" s="8" t="inlineStr">
        <is>
          <t>Total Comisión Devengada</t>
        </is>
      </c>
      <c r="F13" s="9" t="n"/>
      <c r="G13" s="15">
        <f>G27+G34</f>
        <v/>
      </c>
      <c r="H13" s="11" t="n"/>
    </row>
    <row r="14" ht="6" customHeight="1"/>
    <row r="15" ht="20" customHeight="1">
      <c r="A15" s="7" t="inlineStr">
        <is>
          <t>Clientes</t>
        </is>
      </c>
      <c r="B15" s="5" t="n"/>
      <c r="C15" s="5" t="n"/>
      <c r="D15" s="5" t="n"/>
      <c r="E15" s="5" t="n"/>
      <c r="F15" s="5" t="n"/>
      <c r="G15" s="5" t="n"/>
      <c r="H15" s="5" t="n"/>
    </row>
    <row r="16" ht="26" customHeight="1">
      <c r="A16" s="16" t="inlineStr">
        <is>
          <t>Código</t>
        </is>
      </c>
      <c r="B16" s="16" t="inlineStr">
        <is>
          <t>Cliente</t>
        </is>
      </c>
      <c r="C16" s="16" t="inlineStr">
        <is>
          <t>Cobrado</t>
        </is>
      </c>
      <c r="D16" s="16" t="inlineStr">
        <is>
          <t>Aplicado</t>
        </is>
      </c>
      <c r="E16" s="16" t="inlineStr">
        <is>
          <t>Remanente</t>
        </is>
      </c>
      <c r="F16" s="16" t="inlineStr">
        <is>
          <t>Motivo del Remanente</t>
        </is>
      </c>
      <c r="G16" s="17" t="n"/>
      <c r="H16" s="17" t="n"/>
    </row>
    <row r="17">
      <c r="A17" s="18" t="inlineStr">
        <is>
          <t>NB0054</t>
        </is>
      </c>
      <c r="B17" s="18" t="inlineStr">
        <is>
          <t>Distribuidora del Plata S.A.</t>
        </is>
      </c>
      <c r="C17" s="19" t="n">
        <v>185000</v>
      </c>
      <c r="D17" s="19" t="n">
        <v>185000</v>
      </c>
      <c r="E17" s="19" t="n">
        <v>0</v>
      </c>
      <c r="F17" s="18" t="n"/>
      <c r="G17" s="11" t="n"/>
      <c r="H17" s="11" t="n"/>
    </row>
    <row r="18">
      <c r="A18" s="18" t="inlineStr">
        <is>
          <t>NS0058</t>
        </is>
      </c>
      <c r="B18" s="18" t="inlineStr">
        <is>
          <t>Almacén Don Pedro SRL</t>
        </is>
      </c>
      <c r="C18" s="19" t="n">
        <v>96500</v>
      </c>
      <c r="D18" s="19" t="n">
        <v>90000</v>
      </c>
      <c r="E18" s="19" t="n">
        <v>6500</v>
      </c>
      <c r="F18" s="18" t="inlineStr">
        <is>
          <t>A Cuenta</t>
        </is>
      </c>
      <c r="G18" s="11" t="n"/>
      <c r="H18" s="11" t="n"/>
    </row>
    <row r="19">
      <c r="A19" s="18" t="inlineStr">
        <is>
          <t>NX0034</t>
        </is>
      </c>
      <c r="B19" s="18" t="inlineStr">
        <is>
          <t>Supermercados Río Cuarto S.R.L.</t>
        </is>
      </c>
      <c r="C19" s="19" t="n">
        <v>143200</v>
      </c>
      <c r="D19" s="19" t="n">
        <v>143200</v>
      </c>
      <c r="E19" s="19" t="n">
        <v>0</v>
      </c>
      <c r="F19" s="18" t="n"/>
      <c r="G19" s="11" t="n"/>
      <c r="H19" s="11" t="n"/>
    </row>
    <row r="20">
      <c r="A20" s="20" t="inlineStr">
        <is>
          <t>Total</t>
        </is>
      </c>
      <c r="B20" s="21" t="n"/>
      <c r="C20" s="22">
        <f>SUM(C17:C19)</f>
        <v/>
      </c>
      <c r="D20" s="22">
        <f>SUM(D17:D19)</f>
        <v/>
      </c>
      <c r="E20" s="22">
        <f>SUM(E17:E19)</f>
        <v/>
      </c>
      <c r="F20" s="20" t="n"/>
      <c r="G20" s="21" t="n"/>
      <c r="H20" s="21" t="n"/>
    </row>
    <row r="21" ht="6" customHeight="1"/>
    <row r="22" ht="20" customHeight="1">
      <c r="A22" s="7" t="inlineStr">
        <is>
          <t>Facturas</t>
        </is>
      </c>
      <c r="B22" s="5" t="n"/>
      <c r="C22" s="5" t="n"/>
      <c r="D22" s="5" t="n"/>
      <c r="E22" s="5" t="n"/>
      <c r="F22" s="5" t="n"/>
      <c r="G22" s="5" t="n"/>
      <c r="H22" s="5" t="n"/>
    </row>
    <row r="23" ht="26" customHeight="1">
      <c r="A23" s="16" t="inlineStr">
        <is>
          <t>Código</t>
        </is>
      </c>
      <c r="B23" s="16" t="inlineStr">
        <is>
          <t>Cliente</t>
        </is>
      </c>
      <c r="C23" s="16" t="inlineStr">
        <is>
          <t>Factura</t>
        </is>
      </c>
      <c r="D23" s="16" t="inlineStr">
        <is>
          <t>Vencimiento</t>
        </is>
      </c>
      <c r="E23" s="16" t="inlineStr">
        <is>
          <t>Saldo</t>
        </is>
      </c>
      <c r="F23" s="16" t="inlineStr">
        <is>
          <t>Aplicado</t>
        </is>
      </c>
      <c r="G23" s="16" t="inlineStr">
        <is>
          <t>Comisión</t>
        </is>
      </c>
      <c r="H23" s="17" t="n"/>
    </row>
    <row r="24">
      <c r="A24" s="18" t="inlineStr">
        <is>
          <t>NB0054</t>
        </is>
      </c>
      <c r="B24" s="18" t="inlineStr">
        <is>
          <t>Distribuidora del Plata S.A.</t>
        </is>
      </c>
      <c r="C24" s="18" t="inlineStr">
        <is>
          <t>FA-A 0003-00001245</t>
        </is>
      </c>
      <c r="D24" s="18" t="inlineStr">
        <is>
          <t>2026-07-30</t>
        </is>
      </c>
      <c r="E24" s="19" t="n">
        <v>132300.5</v>
      </c>
      <c r="F24" s="19" t="n">
        <v>132300.5</v>
      </c>
      <c r="G24" s="19">
        <f>F24*$C$13</f>
        <v/>
      </c>
      <c r="H24" s="11" t="n"/>
    </row>
    <row r="25">
      <c r="A25" s="18" t="inlineStr">
        <is>
          <t>NB0054</t>
        </is>
      </c>
      <c r="B25" s="18" t="inlineStr">
        <is>
          <t>Distribuidora del Plata S.A.</t>
        </is>
      </c>
      <c r="C25" s="18" t="inlineStr">
        <is>
          <t>FA-A 0003-00001301</t>
        </is>
      </c>
      <c r="D25" s="18" t="inlineStr">
        <is>
          <t>2026-08-14</t>
        </is>
      </c>
      <c r="E25" s="19" t="n">
        <v>110000</v>
      </c>
      <c r="F25" s="19" t="n">
        <v>52699.5</v>
      </c>
      <c r="G25" s="19">
        <f>F25*$C$13</f>
        <v/>
      </c>
      <c r="H25" s="11" t="n"/>
    </row>
    <row r="26">
      <c r="A26" s="18" t="inlineStr">
        <is>
          <t>NX0034</t>
        </is>
      </c>
      <c r="B26" s="18" t="inlineStr">
        <is>
          <t>Supermercados Río Cuarto S.R.L.</t>
        </is>
      </c>
      <c r="C26" s="18" t="inlineStr">
        <is>
          <t>FA-B 0007-00003310</t>
        </is>
      </c>
      <c r="D26" s="18" t="inlineStr">
        <is>
          <t>2026-07-20</t>
        </is>
      </c>
      <c r="E26" s="19" t="n">
        <v>88200</v>
      </c>
      <c r="F26" s="19" t="n">
        <v>88200</v>
      </c>
      <c r="G26" s="19">
        <f>F26*$C$13</f>
        <v/>
      </c>
      <c r="H26" s="11" t="n"/>
    </row>
    <row r="27">
      <c r="A27" s="23" t="inlineStr">
        <is>
          <t>Subtotal</t>
        </is>
      </c>
      <c r="B27" s="24" t="n"/>
      <c r="C27" s="24" t="n"/>
      <c r="D27" s="24" t="n"/>
      <c r="E27" s="24" t="n"/>
      <c r="F27" s="25">
        <f>SUM(F24:F26)</f>
        <v/>
      </c>
      <c r="G27" s="25">
        <f>SUM(G24:G26)</f>
        <v/>
      </c>
      <c r="H27" s="24" t="n"/>
    </row>
    <row r="28" ht="6" customHeight="1"/>
    <row r="29" ht="20" customHeight="1">
      <c r="A29" s="7" t="inlineStr">
        <is>
          <t>Presupuestos</t>
        </is>
      </c>
      <c r="B29" s="5" t="n"/>
      <c r="C29" s="5" t="n"/>
      <c r="D29" s="5" t="n"/>
      <c r="E29" s="5" t="n"/>
      <c r="F29" s="5" t="n"/>
      <c r="G29" s="5" t="n"/>
      <c r="H29" s="5" t="n"/>
    </row>
    <row r="30" ht="26" customHeight="1">
      <c r="A30" s="16" t="inlineStr">
        <is>
          <t>Código</t>
        </is>
      </c>
      <c r="B30" s="16" t="inlineStr">
        <is>
          <t>Cliente</t>
        </is>
      </c>
      <c r="C30" s="16" t="inlineStr">
        <is>
          <t>Presupuesto</t>
        </is>
      </c>
      <c r="D30" s="16" t="inlineStr">
        <is>
          <t>Vencimiento</t>
        </is>
      </c>
      <c r="E30" s="16" t="inlineStr">
        <is>
          <t>Saldo</t>
        </is>
      </c>
      <c r="F30" s="16" t="inlineStr">
        <is>
          <t>Aplicado</t>
        </is>
      </c>
      <c r="G30" s="16" t="inlineStr">
        <is>
          <t>Comisión</t>
        </is>
      </c>
      <c r="H30" s="17" t="n"/>
    </row>
    <row r="31">
      <c r="A31" s="18" t="inlineStr">
        <is>
          <t>NS0058</t>
        </is>
      </c>
      <c r="B31" s="18" t="inlineStr">
        <is>
          <t>Almacén Don Pedro SRL</t>
        </is>
      </c>
      <c r="C31" s="18" t="inlineStr">
        <is>
          <t>PRES 0005-00000876</t>
        </is>
      </c>
      <c r="D31" s="18" t="inlineStr">
        <is>
          <t>2026-08-04</t>
        </is>
      </c>
      <c r="E31" s="19" t="n">
        <v>60400</v>
      </c>
      <c r="F31" s="19" t="n">
        <v>60400</v>
      </c>
      <c r="G31" s="19">
        <f>F31*$C$13</f>
        <v/>
      </c>
      <c r="H31" s="11" t="n"/>
    </row>
    <row r="32">
      <c r="A32" s="18" t="inlineStr">
        <is>
          <t>NS0058</t>
        </is>
      </c>
      <c r="B32" s="18" t="inlineStr">
        <is>
          <t>Almacén Don Pedro SRL</t>
        </is>
      </c>
      <c r="C32" s="18" t="inlineStr">
        <is>
          <t>PRES 0005-00000912</t>
        </is>
      </c>
      <c r="D32" s="18" t="inlineStr">
        <is>
          <t>2026-08-27</t>
        </is>
      </c>
      <c r="E32" s="19" t="n">
        <v>29600</v>
      </c>
      <c r="F32" s="19" t="n">
        <v>29600</v>
      </c>
      <c r="G32" s="19">
        <f>F32*$C$13</f>
        <v/>
      </c>
      <c r="H32" s="11" t="n"/>
    </row>
    <row r="33">
      <c r="A33" s="18" t="inlineStr">
        <is>
          <t>NX0034</t>
        </is>
      </c>
      <c r="B33" s="18" t="inlineStr">
        <is>
          <t>Supermercados Río Cuarto S.R.L.</t>
        </is>
      </c>
      <c r="C33" s="18" t="inlineStr">
        <is>
          <t>PRES 0007-00003402</t>
        </is>
      </c>
      <c r="D33" s="18" t="inlineStr">
        <is>
          <t>2026-08-19</t>
        </is>
      </c>
      <c r="E33" s="19" t="n">
        <v>120000</v>
      </c>
      <c r="F33" s="19" t="n">
        <v>55000</v>
      </c>
      <c r="G33" s="19">
        <f>F33*$C$13</f>
        <v/>
      </c>
      <c r="H33" s="11" t="n"/>
    </row>
    <row r="34">
      <c r="A34" s="23" t="inlineStr">
        <is>
          <t>Subtotal</t>
        </is>
      </c>
      <c r="B34" s="24" t="n"/>
      <c r="C34" s="24" t="n"/>
      <c r="D34" s="24" t="n"/>
      <c r="E34" s="24" t="n"/>
      <c r="F34" s="25">
        <f>SUM(F31:F33)</f>
        <v/>
      </c>
      <c r="G34" s="25">
        <f>SUM(G31:G33)</f>
        <v/>
      </c>
      <c r="H34" s="24" t="n"/>
    </row>
    <row r="35" ht="6" customHeight="1"/>
    <row r="36">
      <c r="A36" s="20" t="inlineStr">
        <is>
          <t>Total Aplicado</t>
        </is>
      </c>
      <c r="B36" s="21" t="n"/>
      <c r="C36" s="21" t="n"/>
      <c r="D36" s="21" t="n"/>
      <c r="E36" s="21" t="n"/>
      <c r="F36" s="22">
        <f>F27+F34</f>
        <v/>
      </c>
      <c r="G36" s="22">
        <f>G27+G34</f>
        <v/>
      </c>
      <c r="H36" s="21" t="n"/>
    </row>
    <row r="37" ht="6" customHeight="1"/>
    <row r="38" ht="20" customHeight="1">
      <c r="A38" s="7" t="inlineStr">
        <is>
          <t>Comprobantes — Transferencia Bancaria</t>
        </is>
      </c>
      <c r="B38" s="5" t="n"/>
      <c r="C38" s="5" t="n"/>
      <c r="D38" s="5" t="n"/>
      <c r="E38" s="5" t="n"/>
      <c r="F38" s="5" t="n"/>
      <c r="G38" s="5" t="n"/>
      <c r="H38" s="5" t="n"/>
    </row>
    <row r="39" ht="26" customHeight="1">
      <c r="A39" s="16" t="inlineStr">
        <is>
          <t>Código</t>
        </is>
      </c>
      <c r="B39" s="16" t="inlineStr">
        <is>
          <t>Cliente</t>
        </is>
      </c>
      <c r="C39" s="16" t="inlineStr">
        <is>
          <t>Fecha</t>
        </is>
      </c>
      <c r="D39" s="16" t="inlineStr">
        <is>
          <t>Nº Comprobante</t>
        </is>
      </c>
      <c r="E39" s="17" t="n"/>
      <c r="F39" s="17" t="n"/>
      <c r="G39" s="17" t="n"/>
      <c r="H39" s="16" t="inlineStr">
        <is>
          <t>Importe</t>
        </is>
      </c>
    </row>
    <row r="40">
      <c r="A40" s="18" t="inlineStr">
        <is>
          <t>NB0054</t>
        </is>
      </c>
      <c r="B40" s="18" t="inlineStr">
        <is>
          <t>Distribuidora del Plata S.A.</t>
        </is>
      </c>
      <c r="C40" s="18" t="inlineStr">
        <is>
          <t>2026-08-24</t>
        </is>
      </c>
      <c r="D40" s="18" t="inlineStr">
        <is>
          <t>000123456</t>
        </is>
      </c>
      <c r="E40" s="11" t="n"/>
      <c r="F40" s="11" t="n"/>
      <c r="G40" s="11" t="n"/>
      <c r="H40" s="19" t="n">
        <v>120000</v>
      </c>
    </row>
    <row r="41">
      <c r="A41" s="18" t="inlineStr">
        <is>
          <t>NX0034</t>
        </is>
      </c>
      <c r="B41" s="18" t="inlineStr">
        <is>
          <t>Supermercados Río Cuarto S.R.L.</t>
        </is>
      </c>
      <c r="C41" s="18" t="inlineStr">
        <is>
          <t>2026-08-27</t>
        </is>
      </c>
      <c r="D41" s="18" t="inlineStr">
        <is>
          <t>000124871</t>
        </is>
      </c>
      <c r="E41" s="11" t="n"/>
      <c r="F41" s="11" t="n"/>
      <c r="G41" s="11" t="n"/>
      <c r="H41" s="19" t="n">
        <v>95200</v>
      </c>
    </row>
    <row r="42">
      <c r="A42" s="23" t="inlineStr">
        <is>
          <t>Subtotal</t>
        </is>
      </c>
      <c r="B42" s="24" t="n"/>
      <c r="C42" s="24" t="n"/>
      <c r="D42" s="24" t="n"/>
      <c r="E42" s="24" t="n"/>
      <c r="F42" s="24" t="n"/>
      <c r="G42" s="24" t="n"/>
      <c r="H42" s="25">
        <f>SUM(H40:H41)</f>
        <v/>
      </c>
    </row>
    <row r="43" ht="6" customHeight="1"/>
    <row r="44" ht="20" customHeight="1">
      <c r="A44" s="7" t="inlineStr">
        <is>
          <t>Comprobantes — Cheque</t>
        </is>
      </c>
      <c r="B44" s="5" t="n"/>
      <c r="C44" s="5" t="n"/>
      <c r="D44" s="5" t="n"/>
      <c r="E44" s="5" t="n"/>
      <c r="F44" s="5" t="n"/>
      <c r="G44" s="5" t="n"/>
      <c r="H44" s="5" t="n"/>
    </row>
    <row r="45" ht="26" customHeight="1">
      <c r="A45" s="16" t="inlineStr">
        <is>
          <t>Código</t>
        </is>
      </c>
      <c r="B45" s="16" t="inlineStr">
        <is>
          <t>Cliente</t>
        </is>
      </c>
      <c r="C45" s="16" t="inlineStr">
        <is>
          <t>Fecha de Emisión</t>
        </is>
      </c>
      <c r="D45" s="16" t="inlineStr">
        <is>
          <t>Nº Cheque</t>
        </is>
      </c>
      <c r="E45" s="16" t="inlineStr">
        <is>
          <t>Banco</t>
        </is>
      </c>
      <c r="F45" s="16" t="inlineStr">
        <is>
          <t>Tipo</t>
        </is>
      </c>
      <c r="G45" s="16" t="inlineStr">
        <is>
          <t>Fecha de Pago</t>
        </is>
      </c>
      <c r="H45" s="16" t="inlineStr">
        <is>
          <t>Importe</t>
        </is>
      </c>
    </row>
    <row r="46">
      <c r="A46" s="18" t="inlineStr">
        <is>
          <t>NB0054</t>
        </is>
      </c>
      <c r="B46" s="18" t="inlineStr">
        <is>
          <t>Distribuidora del Plata S.A.</t>
        </is>
      </c>
      <c r="C46" s="18" t="inlineStr">
        <is>
          <t>2026-08-26</t>
        </is>
      </c>
      <c r="D46" s="18" t="inlineStr">
        <is>
          <t>40012233</t>
        </is>
      </c>
      <c r="E46" s="18" t="inlineStr">
        <is>
          <t>Banco Galicia</t>
        </is>
      </c>
      <c r="F46" s="18" t="inlineStr">
        <is>
          <t>Diferido</t>
        </is>
      </c>
      <c r="G46" s="18" t="inlineStr">
        <is>
          <t>2026-10-15</t>
        </is>
      </c>
      <c r="H46" s="19" t="n">
        <v>65000</v>
      </c>
    </row>
    <row r="47">
      <c r="A47" s="18" t="inlineStr">
        <is>
          <t>NX0034</t>
        </is>
      </c>
      <c r="B47" s="18" t="inlineStr">
        <is>
          <t>Supermercados Río Cuarto S.R.L.</t>
        </is>
      </c>
      <c r="C47" s="18" t="inlineStr">
        <is>
          <t>2026-08-28</t>
        </is>
      </c>
      <c r="D47" s="18" t="inlineStr">
        <is>
          <t>21877455</t>
        </is>
      </c>
      <c r="E47" s="18" t="inlineStr">
        <is>
          <t>Banco Nación</t>
        </is>
      </c>
      <c r="F47" s="18" t="inlineStr">
        <is>
          <t>Común</t>
        </is>
      </c>
      <c r="G47" s="18" t="inlineStr">
        <is>
          <t>2026-08-28</t>
        </is>
      </c>
      <c r="H47" s="19" t="n">
        <v>48000</v>
      </c>
    </row>
    <row r="48">
      <c r="A48" s="23" t="inlineStr">
        <is>
          <t>Subtotal</t>
        </is>
      </c>
      <c r="B48" s="24" t="n"/>
      <c r="C48" s="24" t="n"/>
      <c r="D48" s="24" t="n"/>
      <c r="E48" s="24" t="n"/>
      <c r="F48" s="24" t="n"/>
      <c r="G48" s="24" t="n"/>
      <c r="H48" s="25">
        <f>SUM(H46:H47)</f>
        <v/>
      </c>
    </row>
    <row r="49" ht="6" customHeight="1"/>
    <row r="50" ht="20" customHeight="1">
      <c r="A50" s="7" t="inlineStr">
        <is>
          <t>Comprobantes — Depósito en Efectivo</t>
        </is>
      </c>
      <c r="B50" s="5" t="n"/>
      <c r="C50" s="5" t="n"/>
      <c r="D50" s="5" t="n"/>
      <c r="E50" s="5" t="n"/>
      <c r="F50" s="5" t="n"/>
      <c r="G50" s="5" t="n"/>
      <c r="H50" s="5" t="n"/>
    </row>
    <row r="51" ht="26" customHeight="1">
      <c r="A51" s="16" t="inlineStr">
        <is>
          <t>Código</t>
        </is>
      </c>
      <c r="B51" s="16" t="inlineStr">
        <is>
          <t>Cliente</t>
        </is>
      </c>
      <c r="C51" s="16" t="inlineStr">
        <is>
          <t>Fecha</t>
        </is>
      </c>
      <c r="D51" s="16" t="inlineStr">
        <is>
          <t>Nº Comprobante</t>
        </is>
      </c>
      <c r="E51" s="17" t="n"/>
      <c r="F51" s="17" t="n"/>
      <c r="G51" s="17" t="n"/>
      <c r="H51" s="16" t="inlineStr">
        <is>
          <t>Importe</t>
        </is>
      </c>
    </row>
    <row r="52">
      <c r="A52" s="18" t="inlineStr">
        <is>
          <t>NS0058</t>
        </is>
      </c>
      <c r="B52" s="18" t="inlineStr">
        <is>
          <t>Almacén Don Pedro SRL</t>
        </is>
      </c>
      <c r="C52" s="18" t="inlineStr">
        <is>
          <t>2026-08-29</t>
        </is>
      </c>
      <c r="D52" s="18" t="inlineStr">
        <is>
          <t>774512</t>
        </is>
      </c>
      <c r="E52" s="11" t="n"/>
      <c r="F52" s="11" t="n"/>
      <c r="G52" s="11" t="n"/>
      <c r="H52" s="19" t="n">
        <v>96500</v>
      </c>
    </row>
    <row r="53">
      <c r="A53" s="23" t="inlineStr">
        <is>
          <t>Subtotal</t>
        </is>
      </c>
      <c r="B53" s="24" t="n"/>
      <c r="C53" s="24" t="n"/>
      <c r="D53" s="24" t="n"/>
      <c r="E53" s="24" t="n"/>
      <c r="F53" s="24" t="n"/>
      <c r="G53" s="24" t="n"/>
      <c r="H53" s="25">
        <f>SUM(H52:H52)</f>
        <v/>
      </c>
    </row>
    <row r="54" ht="6" customHeight="1"/>
    <row r="55">
      <c r="A55" s="20" t="inlineStr">
        <is>
          <t>Total Cobrado</t>
        </is>
      </c>
      <c r="B55" s="21" t="n"/>
      <c r="C55" s="21" t="n"/>
      <c r="D55" s="21" t="n"/>
      <c r="E55" s="21" t="n"/>
      <c r="F55" s="21" t="n"/>
      <c r="G55" s="21" t="n"/>
      <c r="H55" s="22">
        <f>H42+H48+H53</f>
        <v/>
      </c>
    </row>
    <row r="56" ht="6" customHeight="1"/>
    <row r="57" ht="20" customHeight="1">
      <c r="A57" s="7" t="inlineStr">
        <is>
          <t>Conciliación del Vendedor</t>
        </is>
      </c>
      <c r="B57" s="5" t="n"/>
      <c r="C57" s="5" t="n"/>
      <c r="D57" s="5" t="n"/>
      <c r="E57" s="5" t="n"/>
      <c r="F57" s="5" t="n"/>
      <c r="G57" s="5" t="n"/>
      <c r="H57" s="5" t="n"/>
    </row>
    <row r="58" ht="26" customHeight="1">
      <c r="A58" s="16" t="inlineStr">
        <is>
          <t>Composición de lo Rendido</t>
        </is>
      </c>
      <c r="B58" s="17" t="n"/>
      <c r="C58" s="17" t="n"/>
      <c r="D58" s="16" t="inlineStr">
        <is>
          <t>Efectivo en Caja</t>
        </is>
      </c>
      <c r="E58" s="16" t="inlineStr">
        <is>
          <t>Depósitos</t>
        </is>
      </c>
      <c r="F58" s="16" t="inlineStr">
        <is>
          <t>Cheques</t>
        </is>
      </c>
      <c r="G58" s="16" t="inlineStr">
        <is>
          <t>Transferencias</t>
        </is>
      </c>
      <c r="H58" s="16" t="inlineStr">
        <is>
          <t>Total Rendido</t>
        </is>
      </c>
    </row>
    <row r="59">
      <c r="A59" s="18" t="n"/>
      <c r="B59" s="11" t="n"/>
      <c r="C59" s="11" t="n"/>
      <c r="D59" s="19" t="n">
        <v>0</v>
      </c>
      <c r="E59" s="19">
        <f>H53</f>
        <v/>
      </c>
      <c r="F59" s="19">
        <f>H48</f>
        <v/>
      </c>
      <c r="G59" s="19">
        <f>H42</f>
        <v/>
      </c>
      <c r="H59" s="19">
        <f>SUM(D59:G59)</f>
        <v/>
      </c>
    </row>
    <row r="60" ht="6" customHeight="1"/>
    <row r="61" ht="22" customHeight="1">
      <c r="A61" s="26" t="inlineStr">
        <is>
          <t>Total Cobrado</t>
        </is>
      </c>
      <c r="B61" s="11" t="n"/>
      <c r="C61" s="11" t="n"/>
      <c r="D61" s="27" t="inlineStr">
        <is>
          <t>lo que pagaron los clientes</t>
        </is>
      </c>
      <c r="E61" s="11" t="n"/>
      <c r="F61" s="11" t="n"/>
      <c r="G61" s="28">
        <f>C11</f>
        <v/>
      </c>
      <c r="H61" s="11" t="n"/>
    </row>
    <row r="62" ht="22" customHeight="1">
      <c r="A62" s="26" t="inlineStr">
        <is>
          <t>(−) Comisión Retenida por el Vendedor</t>
        </is>
      </c>
      <c r="B62" s="11" t="n"/>
      <c r="C62" s="11" t="n"/>
      <c r="D62" s="27" t="inlineStr">
        <is>
          <t>la que descuenta en el acto; 0 si se liquida aparte</t>
        </is>
      </c>
      <c r="E62" s="11" t="n"/>
      <c r="F62" s="11" t="n"/>
      <c r="G62" s="28" t="n">
        <v>0</v>
      </c>
      <c r="H62" s="11" t="n"/>
    </row>
    <row r="63" ht="30" customHeight="1">
      <c r="A63" s="29" t="inlineStr">
        <is>
          <t>(=) Neto a Rendir</t>
        </is>
      </c>
      <c r="B63" s="21" t="n"/>
      <c r="C63" s="21" t="n"/>
      <c r="D63" s="30" t="inlineStr">
        <is>
          <t>lo que tenía que entregar a la empresa</t>
        </is>
      </c>
      <c r="E63" s="21" t="n"/>
      <c r="F63" s="21" t="n"/>
      <c r="G63" s="31">
        <f>G61-G62</f>
        <v/>
      </c>
      <c r="H63" s="21" t="n"/>
    </row>
    <row r="64" ht="10" customHeight="1"/>
    <row r="65" ht="22" customHeight="1">
      <c r="A65" s="26" t="inlineStr">
        <is>
          <t>Total Rendido</t>
        </is>
      </c>
      <c r="B65" s="11" t="n"/>
      <c r="C65" s="11" t="n"/>
      <c r="D65" s="27" t="inlineStr">
        <is>
          <t>lo que entregó — efectivo, depósitos, cheques y transferencias</t>
        </is>
      </c>
      <c r="E65" s="11" t="n"/>
      <c r="F65" s="11" t="n"/>
      <c r="G65" s="28">
        <f>H59</f>
        <v/>
      </c>
      <c r="H65" s="11" t="n"/>
    </row>
    <row r="66" ht="30" customHeight="1">
      <c r="A66" s="29" t="inlineStr">
        <is>
          <t>(=) Diferencia</t>
        </is>
      </c>
      <c r="B66" s="21" t="n"/>
      <c r="C66" s="21" t="n"/>
      <c r="D66" s="30" t="inlineStr">
        <is>
          <t>Rendido − Neto a Rendir</t>
        </is>
      </c>
      <c r="E66" s="21" t="n"/>
      <c r="F66" s="21" t="n"/>
      <c r="G66" s="31">
        <f>G65-G63</f>
        <v/>
      </c>
      <c r="H66" s="21" t="n"/>
    </row>
    <row r="67" ht="10" customHeight="1"/>
    <row r="68" ht="34" customHeight="1">
      <c r="A68" s="32">
        <f>IF(ROUND(G66,2)=0,"✓  CONFORME — el vendedor rindió exactamente el neto a rendir",IF(G66&gt;0,"▲  A SU FAVOR — entregó "&amp;TEXT(G66,"$ #,##0.00")&amp;" de más","▼  A RENDIR — todavía debe entregar "&amp;TEXT(-G66,"$ #,##0.00")))</f>
        <v/>
      </c>
      <c r="B68" s="33" t="n"/>
      <c r="C68" s="33" t="n"/>
      <c r="D68" s="33" t="n"/>
      <c r="E68" s="33" t="n"/>
      <c r="F68" s="33" t="n"/>
      <c r="G68" s="33" t="n"/>
      <c r="H68" s="33" t="n"/>
    </row>
  </sheetData>
  <mergeCells count="89">
    <mergeCell ref="F18:H18"/>
    <mergeCell ref="A53:G53"/>
    <mergeCell ref="D66:F66"/>
    <mergeCell ref="A1:E1"/>
    <mergeCell ref="F2:H2"/>
    <mergeCell ref="F17:H17"/>
    <mergeCell ref="G23:H23"/>
    <mergeCell ref="E8:F8"/>
    <mergeCell ref="A6:H6"/>
    <mergeCell ref="A7:B7"/>
    <mergeCell ref="A48:G48"/>
    <mergeCell ref="G66:H66"/>
    <mergeCell ref="A50:H50"/>
    <mergeCell ref="A3:H3"/>
    <mergeCell ref="G34:H34"/>
    <mergeCell ref="A63:C63"/>
    <mergeCell ref="F1:H1"/>
    <mergeCell ref="A29:H29"/>
    <mergeCell ref="A38:H38"/>
    <mergeCell ref="A44:H44"/>
    <mergeCell ref="A9:B9"/>
    <mergeCell ref="E12:F12"/>
    <mergeCell ref="A34:E34"/>
    <mergeCell ref="G12:H12"/>
    <mergeCell ref="A66:C66"/>
    <mergeCell ref="A15:H15"/>
    <mergeCell ref="A11:B11"/>
    <mergeCell ref="G61:H61"/>
    <mergeCell ref="A36:E36"/>
    <mergeCell ref="D51:G51"/>
    <mergeCell ref="G7:H7"/>
    <mergeCell ref="G62:H62"/>
    <mergeCell ref="G24:H24"/>
    <mergeCell ref="G33:H33"/>
    <mergeCell ref="A58:C58"/>
    <mergeCell ref="G65:H65"/>
    <mergeCell ref="A8:B8"/>
    <mergeCell ref="G26:H26"/>
    <mergeCell ref="C8:D8"/>
    <mergeCell ref="A22:H22"/>
    <mergeCell ref="G25:H25"/>
    <mergeCell ref="A10:B10"/>
    <mergeCell ref="A55:G55"/>
    <mergeCell ref="G9:H9"/>
    <mergeCell ref="D39:G39"/>
    <mergeCell ref="G11:H11"/>
    <mergeCell ref="A62:C62"/>
    <mergeCell ref="E13:F13"/>
    <mergeCell ref="G13:H13"/>
    <mergeCell ref="A12:B12"/>
    <mergeCell ref="C12:D12"/>
    <mergeCell ref="A2:E2"/>
    <mergeCell ref="D52:G52"/>
    <mergeCell ref="A59:C59"/>
    <mergeCell ref="F16:H16"/>
    <mergeCell ref="C7:D7"/>
    <mergeCell ref="E7:F7"/>
    <mergeCell ref="G32:H32"/>
    <mergeCell ref="A61:C61"/>
    <mergeCell ref="G63:H63"/>
    <mergeCell ref="A68:H68"/>
    <mergeCell ref="F20:H20"/>
    <mergeCell ref="D61:F61"/>
    <mergeCell ref="G27:H27"/>
    <mergeCell ref="G36:H36"/>
    <mergeCell ref="G8:H8"/>
    <mergeCell ref="C10:D10"/>
    <mergeCell ref="E10:F10"/>
    <mergeCell ref="G10:H10"/>
    <mergeCell ref="D62:F62"/>
    <mergeCell ref="C9:D9"/>
    <mergeCell ref="E9:F9"/>
    <mergeCell ref="A27:E27"/>
    <mergeCell ref="D40:G40"/>
    <mergeCell ref="G30:H30"/>
    <mergeCell ref="A57:H57"/>
    <mergeCell ref="C11:D11"/>
    <mergeCell ref="E11:F11"/>
    <mergeCell ref="D63:F63"/>
    <mergeCell ref="A4:H4"/>
    <mergeCell ref="A20:B20"/>
    <mergeCell ref="D41:G41"/>
    <mergeCell ref="F19:H19"/>
    <mergeCell ref="D65:F65"/>
    <mergeCell ref="A13:B13"/>
    <mergeCell ref="G31:H31"/>
    <mergeCell ref="C13:D13"/>
    <mergeCell ref="A65:C65"/>
    <mergeCell ref="A42:G42"/>
  </mergeCells>
  <conditionalFormatting sqref="A68:H68">
    <cfRule type="expression" priority="1" dxfId="0" stopIfTrue="1">
      <formula>ROUND($G$66,2)=0</formula>
    </cfRule>
    <cfRule type="expression" priority="2" dxfId="1" stopIfTrue="1">
      <formula>ROUND($G$66,2)&gt;0</formula>
    </cfRule>
    <cfRule type="expression" priority="3" dxfId="2" stopIfTrue="1">
      <formula>ROUND($G$66,2)&lt;0</formula>
    </cfRule>
  </conditionalFormatting>
  <pageMargins left="0.3" right="0.3" top="0.4" bottom="0.4" header="0.5" footer="0.5"/>
  <pageSetup orientation="landscape" paperSize="9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2026-09-02T21:41:04Z</dcterms:created>
  <dcterms:modified xsi:type="dcterms:W3CDTF">2026-09-02T21:41:04Z</dcterms:modified>
</cp:coreProperties>
</file>